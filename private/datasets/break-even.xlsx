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ntiagomurcia/Desktop/macro-arg/public/data/break-even/"/>
    </mc:Choice>
  </mc:AlternateContent>
  <xr:revisionPtr revIDLastSave="0" documentId="13_ncr:1_{793ADA65-4DB5-0D42-99D7-30766F3E60F7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Resumen BEI" sheetId="1" r:id="rId1"/>
    <sheet name="Bonos Nominales" sheetId="2" r:id="rId2"/>
    <sheet name="Bonos CER" sheetId="3" r:id="rId3"/>
    <sheet name="REM Espera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" l="1"/>
  <c r="E5" i="1" s="1"/>
  <c r="F5" i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F12" i="1"/>
  <c r="F11" i="1"/>
  <c r="F10" i="1"/>
  <c r="F9" i="1"/>
  <c r="F8" i="1"/>
  <c r="F7" i="1"/>
  <c r="F6" i="1"/>
  <c r="G5" i="1" l="1"/>
  <c r="C12" i="1"/>
  <c r="C10" i="1"/>
  <c r="C6" i="1"/>
  <c r="C9" i="1"/>
  <c r="C5" i="1"/>
  <c r="C8" i="1"/>
  <c r="C11" i="1"/>
  <c r="C7" i="1"/>
  <c r="D11" i="1"/>
  <c r="D9" i="1"/>
  <c r="D8" i="1"/>
  <c r="D7" i="1"/>
  <c r="D10" i="1"/>
  <c r="D6" i="1"/>
  <c r="D12" i="1"/>
  <c r="E7" i="1" l="1"/>
  <c r="G7" i="1" s="1"/>
  <c r="E9" i="1"/>
  <c r="G9" i="1" s="1"/>
  <c r="E11" i="1"/>
  <c r="G11" i="1" s="1"/>
  <c r="E6" i="1"/>
  <c r="G6" i="1" s="1"/>
  <c r="E8" i="1"/>
  <c r="G8" i="1" s="1"/>
  <c r="E10" i="1"/>
  <c r="G10" i="1" s="1"/>
  <c r="E12" i="1"/>
  <c r="G12" i="1" s="1"/>
</calcChain>
</file>

<file path=xl/sharedStrings.xml><?xml version="1.0" encoding="utf-8"?>
<sst xmlns="http://schemas.openxmlformats.org/spreadsheetml/2006/main" count="199" uniqueCount="147">
  <si>
    <t>BREAK-EVEN INFLACIONARIO POR PLAZO</t>
  </si>
  <si>
    <t>Calculado en vivo desde las hojas Bonos Nominales / Bonos CER / REM Esperado</t>
  </si>
  <si>
    <t>Plazo</t>
  </si>
  <si>
    <t>Centro (meses)</t>
  </si>
  <si>
    <t>TIR LECAP avg</t>
  </si>
  <si>
    <t>TIR CER avg</t>
  </si>
  <si>
    <t>BEI implícita</t>
  </si>
  <si>
    <t>REM esperado</t>
  </si>
  <si>
    <t>Δ (BEI − REM)</t>
  </si>
  <si>
    <t>0-3 meses</t>
  </si>
  <si>
    <t>3-6 meses</t>
  </si>
  <si>
    <t>6-9 meses</t>
  </si>
  <si>
    <t>9-12 meses</t>
  </si>
  <si>
    <t>12-18 meses</t>
  </si>
  <si>
    <t>18-24 meses</t>
  </si>
  <si>
    <t>24-36 meses</t>
  </si>
  <si>
    <t>+36 meses</t>
  </si>
  <si>
    <t>LEYENDA</t>
  </si>
  <si>
    <t>BEI &gt; REM → mercado más pesimista que economistas → conviene CER</t>
  </si>
  <si>
    <t>BEI &lt; REM → mercado más optimista que economistas → conviene tasa fija</t>
  </si>
  <si>
    <t>Δ ≈ 0 → mercado y economistas coinciden → neutral</t>
  </si>
  <si>
    <t>BONOS NOMINALES — LECAP + BONTE TASA FIJA</t>
  </si>
  <si>
    <t>Snapshot: 10-may-2026 · Fuente: Bolsar / IAMC · TIRs editables (azul)</t>
  </si>
  <si>
    <t>Ticker</t>
  </si>
  <si>
    <t>Tipo</t>
  </si>
  <si>
    <t>Vencimiento</t>
  </si>
  <si>
    <t>Días al vto</t>
  </si>
  <si>
    <t>Años al vto</t>
  </si>
  <si>
    <t>Precio ARS</t>
  </si>
  <si>
    <t>TIR anual %</t>
  </si>
  <si>
    <t>Descripción</t>
  </si>
  <si>
    <t>S15Y6</t>
  </si>
  <si>
    <t>LECAP</t>
  </si>
  <si>
    <t>2026-05-15</t>
  </si>
  <si>
    <t>LECAP vto 15-may-26</t>
  </si>
  <si>
    <t>S29Y6</t>
  </si>
  <si>
    <t>2026-05-29</t>
  </si>
  <si>
    <t>LECAP vto 29-may-26</t>
  </si>
  <si>
    <t>S12J6</t>
  </si>
  <si>
    <t>2026-06-12</t>
  </si>
  <si>
    <t>LECAP vto 12-jun-26</t>
  </si>
  <si>
    <t>T30J6</t>
  </si>
  <si>
    <t>BONTE TF</t>
  </si>
  <si>
    <t>2026-06-30</t>
  </si>
  <si>
    <t>BONTE cap vto 30-jun-26</t>
  </si>
  <si>
    <t>S17L6</t>
  </si>
  <si>
    <t>2026-07-17</t>
  </si>
  <si>
    <t>LECAP vto 17-jul-26</t>
  </si>
  <si>
    <t>S31L6</t>
  </si>
  <si>
    <t>2026-07-31</t>
  </si>
  <si>
    <t>LECAP vto 31-jul-26</t>
  </si>
  <si>
    <t>S14G6</t>
  </si>
  <si>
    <t>2026-08-14</t>
  </si>
  <si>
    <t>LECAP vto 14-ago-26</t>
  </si>
  <si>
    <t>S31G6</t>
  </si>
  <si>
    <t>2026-08-31</t>
  </si>
  <si>
    <t>LECAP vto 31-ago-26</t>
  </si>
  <si>
    <t>S30S6</t>
  </si>
  <si>
    <t>2026-09-30</t>
  </si>
  <si>
    <t>LECAP vto 30-sep-26</t>
  </si>
  <si>
    <t>TO26</t>
  </si>
  <si>
    <t>2026-10-17</t>
  </si>
  <si>
    <t>BONTE 15.5% vto 17-oct-26</t>
  </si>
  <si>
    <t>S30O6</t>
  </si>
  <si>
    <t>2026-10-30</t>
  </si>
  <si>
    <t>LECAP vto 30-oct-26</t>
  </si>
  <si>
    <t>S30N6</t>
  </si>
  <si>
    <t>2026-11-30</t>
  </si>
  <si>
    <t>LECAP vto 30-nov-26</t>
  </si>
  <si>
    <t>T15E7</t>
  </si>
  <si>
    <t>2027-01-15</t>
  </si>
  <si>
    <t>BONTE cap vto 15-ene-27</t>
  </si>
  <si>
    <t>T30A7</t>
  </si>
  <si>
    <t>2027-04-30</t>
  </si>
  <si>
    <t>BONTE cap vto 30-abr-27</t>
  </si>
  <si>
    <t>T31Y7</t>
  </si>
  <si>
    <t>2027-05-31</t>
  </si>
  <si>
    <t>BONTE cap vto 31-may-27</t>
  </si>
  <si>
    <t>T30J7</t>
  </si>
  <si>
    <t>2027-06-30</t>
  </si>
  <si>
    <t>BONTE cap vto 30-jun-27</t>
  </si>
  <si>
    <t>TY30P</t>
  </si>
  <si>
    <t>2030-05-30</t>
  </si>
  <si>
    <t>BONTE TF vto 30-may-30</t>
  </si>
  <si>
    <t>BONOS REALES — LECER + BONCER (ajustan por CER)</t>
  </si>
  <si>
    <t>Snapshot: 10-may-2026 · Fuente: Bolsar / IAMC · TIRs REALES editables (azul)</t>
  </si>
  <si>
    <t>TIR REAL anual %</t>
  </si>
  <si>
    <t>X15Y6</t>
  </si>
  <si>
    <t>LECER</t>
  </si>
  <si>
    <t>LECER vto 15-may-26</t>
  </si>
  <si>
    <t>X29Y6</t>
  </si>
  <si>
    <t>LECER vto 29-may-26</t>
  </si>
  <si>
    <t>TZX26</t>
  </si>
  <si>
    <t>BONCER</t>
  </si>
  <si>
    <t>BONCER cero cupón vto 30-jun-26</t>
  </si>
  <si>
    <t>X31L6</t>
  </si>
  <si>
    <t>LECER vto 31-jul-26</t>
  </si>
  <si>
    <t>X30S6</t>
  </si>
  <si>
    <t>LECER vto 30-sep-26</t>
  </si>
  <si>
    <t>TZXO6</t>
  </si>
  <si>
    <t>BONCER vto 30-oct-26</t>
  </si>
  <si>
    <t>TX26</t>
  </si>
  <si>
    <t>2026-11-09</t>
  </si>
  <si>
    <t>BONTE CER 2% vto 09-nov-26</t>
  </si>
  <si>
    <t>X30N6</t>
  </si>
  <si>
    <t>LECER vto 30-nov-26</t>
  </si>
  <si>
    <t>TZXD6</t>
  </si>
  <si>
    <t>2026-12-15</t>
  </si>
  <si>
    <t>BONCER vto 15-dic-26</t>
  </si>
  <si>
    <t>TZXM7</t>
  </si>
  <si>
    <t>2027-03-31</t>
  </si>
  <si>
    <t>BONCER vto 31-mar-27</t>
  </si>
  <si>
    <t>TZXA7</t>
  </si>
  <si>
    <t>BONCER vto 30-abr-27</t>
  </si>
  <si>
    <t>TZXY7</t>
  </si>
  <si>
    <t>BONCER vto 31-may-27</t>
  </si>
  <si>
    <t>TZX27</t>
  </si>
  <si>
    <t>BONCER vto 30-jun-27</t>
  </si>
  <si>
    <t>TZXS7</t>
  </si>
  <si>
    <t>2027-09-30</t>
  </si>
  <si>
    <t>BONCER vto 30-sep-27</t>
  </si>
  <si>
    <t>TZXD7</t>
  </si>
  <si>
    <t>2027-12-15</t>
  </si>
  <si>
    <t>BONCER vto 15-dic-27</t>
  </si>
  <si>
    <t>TZXM8</t>
  </si>
  <si>
    <t>2028-03-31</t>
  </si>
  <si>
    <t>BONCER vto 31-mar-28</t>
  </si>
  <si>
    <t>TZX28</t>
  </si>
  <si>
    <t>2028-06-30</t>
  </si>
  <si>
    <t>BONCER vto 30-jun-28</t>
  </si>
  <si>
    <t>TZXS8</t>
  </si>
  <si>
    <t>2028-09-30</t>
  </si>
  <si>
    <t>BONCER vto 30-sep-28</t>
  </si>
  <si>
    <t>TX28</t>
  </si>
  <si>
    <t>2028-11-09</t>
  </si>
  <si>
    <t>BONTE CER 2.25% vto 09-nov-28</t>
  </si>
  <si>
    <t>TZXM9</t>
  </si>
  <si>
    <t>2029-03-31</t>
  </si>
  <si>
    <t>BONCER vto 31-mar-29</t>
  </si>
  <si>
    <t>TX31</t>
  </si>
  <si>
    <t>2031-11-30</t>
  </si>
  <si>
    <t>BONTE CER 2.50% vto 30-nov-31</t>
  </si>
  <si>
    <t>INFLACIÓN ESPERADA — REM BCRA</t>
  </si>
  <si>
    <t>Última publicación: ene-2026 (estimado snapshot may-26) · Editable</t>
  </si>
  <si>
    <t>Horizonte (meses)</t>
  </si>
  <si>
    <t>Inflación acum %</t>
  </si>
  <si>
    <t>Inflación TEA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</si>
</sst>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+0.0%;\-0.0%;0.0%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6B7787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5DC1E0"/>
      <name val="Arial"/>
      <family val="2"/>
    </font>
    <font>
      <b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0182A"/>
        <bgColor rgb="FF000000"/>
      </patternFill>
    </fill>
    <fill>
      <patternFill patternType="solid">
        <fgColor rgb="FF8B1A4F"/>
        <bgColor rgb="FF99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7787"/>
      <rgbColor rgb="FF9999FF"/>
      <rgbColor rgb="FF8B1A4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DC1E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8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K10" sqref="K10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7" width="16" customWidth="1"/>
  </cols>
  <sheetData>
    <row r="1" spans="1:7" ht="27.75" customHeight="1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2" t="s">
        <v>1</v>
      </c>
      <c r="B2" s="2"/>
      <c r="C2" s="2"/>
      <c r="D2" s="2"/>
      <c r="E2" s="2"/>
      <c r="F2" s="2"/>
      <c r="G2" s="2"/>
    </row>
    <row r="4" spans="1:7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2">
      <c r="A5" s="5" t="s">
        <v>9</v>
      </c>
      <c r="B5" s="6">
        <v>1.5</v>
      </c>
      <c r="C5" s="7">
        <f>IFERROR(AVERAGEIFS('Bonos Nominales'!G5:G21,'Bonos Nominales'!E5:E21,"&gt;="&amp;0,'Bonos Nominales'!E5:E21,"&lt;"&amp;0.25),"-")</f>
        <v>0.22199999999999998</v>
      </c>
      <c r="D5" s="7">
        <f>IFERROR(AVERAGEIFS('Bonos CER'!G5:G25,'Bonos CER'!E5:E25,"&gt;="&amp;0,'Bonos CER'!E5:E25,"&lt;"&amp;0.25),"-")</f>
        <v>3.3750000000000002E-2</v>
      </c>
      <c r="E5" s="8">
        <f>IFERROR((1+C5)/(1+D5)-1,"-")</f>
        <v>0.18210399032648139</v>
      </c>
      <c r="F5" s="7">
        <f>IFERROR(INDEX('REM Esperado'!C5:C11,MATCH(B5,'REM Esperado'!A5:A11,1)),"-")</f>
        <v>0.45800000000000002</v>
      </c>
      <c r="G5" s="9">
        <f>IFERROR(E5-F5,"-")</f>
        <v>-0.27589600967351863</v>
      </c>
    </row>
    <row r="6" spans="1:7" x14ac:dyDescent="0.2">
      <c r="A6" s="5" t="s">
        <v>10</v>
      </c>
      <c r="B6" s="6">
        <v>4.5</v>
      </c>
      <c r="C6" s="7">
        <f>IFERROR(AVERAGEIFS('Bonos Nominales'!G5:G21,'Bonos Nominales'!E5:E21,"&gt;="&amp;0.25,'Bonos Nominales'!E5:E21,"&lt;"&amp;0.5),"-")</f>
        <v>0.20600000000000002</v>
      </c>
      <c r="D6" s="7">
        <f>IFERROR(AVERAGEIFS('Bonos CER'!G5:G25,'Bonos CER'!E5:E25,"&gt;="&amp;0.25,'Bonos CER'!E5:E25,"&lt;"&amp;0.5),"-")</f>
        <v>5.2500000000000005E-2</v>
      </c>
      <c r="E6" s="8">
        <f t="shared" ref="E5:E12" si="0">IFERROR((1+C6)/(1+D6)-1,"-")</f>
        <v>0.14584323040380043</v>
      </c>
      <c r="F6" s="7">
        <f>IFERROR(INDEX('REM Esperado'!C5:C11,MATCH(B6,'REM Esperado'!A5:A11,1)),"-")</f>
        <v>0.38200000000000001</v>
      </c>
      <c r="G6" s="9">
        <f t="shared" ref="G5:G12" si="1">IFERROR(E6-F6,"-")</f>
        <v>-0.23615676959619958</v>
      </c>
    </row>
    <row r="7" spans="1:7" x14ac:dyDescent="0.2">
      <c r="A7" s="5" t="s">
        <v>11</v>
      </c>
      <c r="B7" s="6">
        <v>7.5</v>
      </c>
      <c r="C7" s="7">
        <f>IFERROR(AVERAGEIFS('Bonos Nominales'!G5:G21,'Bonos Nominales'!E5:E21,"&gt;="&amp;0.5,'Bonos Nominales'!E5:E21,"&lt;"&amp;0.75),"-")</f>
        <v>0.19900000000000001</v>
      </c>
      <c r="D7" s="7">
        <f>IFERROR(AVERAGEIFS('Bonos CER'!G5:G25,'Bonos CER'!E5:E25,"&gt;="&amp;0.5,'Bonos CER'!E5:E25,"&lt;"&amp;0.75),"-")</f>
        <v>5.8333333333333327E-2</v>
      </c>
      <c r="E7" s="8">
        <f t="shared" si="0"/>
        <v>0.1329133858267717</v>
      </c>
      <c r="F7" s="7">
        <f>IFERROR(INDEX('REM Esperado'!C5:C11,MATCH(B7,'REM Esperado'!A5:A11,1)),"-")</f>
        <v>0.315</v>
      </c>
      <c r="G7" s="9">
        <f t="shared" si="1"/>
        <v>-0.1820866141732283</v>
      </c>
    </row>
    <row r="8" spans="1:7" x14ac:dyDescent="0.2">
      <c r="A8" s="5" t="s">
        <v>12</v>
      </c>
      <c r="B8" s="6">
        <v>10.5</v>
      </c>
      <c r="C8" s="7">
        <f>IFERROR(AVERAGEIFS('Bonos Nominales'!G5:G21,'Bonos Nominales'!E5:E21,"&gt;="&amp;0.75,'Bonos Nominales'!E5:E21,"&lt;"&amp;1),"-")</f>
        <v>0.19500000000000001</v>
      </c>
      <c r="D8" s="7">
        <f>IFERROR(AVERAGEIFS('Bonos CER'!G5:G25,'Bonos CER'!E5:E25,"&gt;="&amp;0.75,'Bonos CER'!E5:E25,"&lt;"&amp;1),"-")</f>
        <v>6.6500000000000004E-2</v>
      </c>
      <c r="E8" s="8">
        <f t="shared" si="0"/>
        <v>0.1204875761837787</v>
      </c>
      <c r="F8" s="7">
        <f>IFERROR(INDEX('REM Esperado'!C5:C11,MATCH(B8,'REM Esperado'!A5:A11,1)),"-")</f>
        <v>0.315</v>
      </c>
      <c r="G8" s="9">
        <f t="shared" si="1"/>
        <v>-0.1945124238162213</v>
      </c>
    </row>
    <row r="9" spans="1:7" x14ac:dyDescent="0.2">
      <c r="A9" s="5" t="s">
        <v>13</v>
      </c>
      <c r="B9" s="6">
        <v>15</v>
      </c>
      <c r="C9" s="7">
        <f>IFERROR(AVERAGEIFS('Bonos Nominales'!G5:G21,'Bonos Nominales'!E5:E21,"&gt;="&amp;1,'Bonos Nominales'!E5:E21,"&lt;"&amp;1.5),"-")</f>
        <v>0.1925</v>
      </c>
      <c r="D9" s="7">
        <f>IFERROR(AVERAGEIFS('Bonos CER'!G5:G25,'Bonos CER'!E5:E25,"&gt;="&amp;1,'Bonos CER'!E5:E25,"&lt;"&amp;1.5),"-")</f>
        <v>7.2333333333333347E-2</v>
      </c>
      <c r="E9" s="8">
        <f t="shared" si="0"/>
        <v>0.11206092632887765</v>
      </c>
      <c r="F9" s="7">
        <f>IFERROR(INDEX('REM Esperado'!C5:C11,MATCH(B9,'REM Esperado'!A5:A11,1)),"-")</f>
        <v>0.23</v>
      </c>
      <c r="G9" s="9">
        <f t="shared" si="1"/>
        <v>-0.11793907367112236</v>
      </c>
    </row>
    <row r="10" spans="1:7" x14ac:dyDescent="0.2">
      <c r="A10" s="5" t="s">
        <v>14</v>
      </c>
      <c r="B10" s="6">
        <v>21</v>
      </c>
      <c r="C10" s="7" t="str">
        <f>IFERROR(AVERAGEIFS('Bonos Nominales'!G5:G21,'Bonos Nominales'!E5:E21,"&gt;="&amp;1.5,'Bonos Nominales'!E5:E21,"&lt;"&amp;2),"-")</f>
        <v>-</v>
      </c>
      <c r="D10" s="7">
        <f>IFERROR(AVERAGEIFS('Bonos CER'!G5:G25,'Bonos CER'!E5:E25,"&gt;="&amp;1.5,'Bonos CER'!E5:E25,"&lt;"&amp;2),"-")</f>
        <v>7.9000000000000001E-2</v>
      </c>
      <c r="E10" s="8" t="str">
        <f t="shared" si="0"/>
        <v>-</v>
      </c>
      <c r="F10" s="7">
        <f>IFERROR(INDEX('REM Esperado'!C5:C11,MATCH(B10,'REM Esperado'!A5:A11,1)),"-")</f>
        <v>0.216</v>
      </c>
      <c r="G10" s="9" t="str">
        <f t="shared" si="1"/>
        <v>-</v>
      </c>
    </row>
    <row r="11" spans="1:7" x14ac:dyDescent="0.2">
      <c r="A11" s="5" t="s">
        <v>15</v>
      </c>
      <c r="B11" s="6">
        <v>30</v>
      </c>
      <c r="C11" s="7" t="str">
        <f>IFERROR(AVERAGEIFS('Bonos Nominales'!G5:G21,'Bonos Nominales'!E5:E21,"&gt;="&amp;2,'Bonos Nominales'!E5:E21,"&lt;"&amp;3),"-")</f>
        <v>-</v>
      </c>
      <c r="D11" s="7">
        <f>IFERROR(AVERAGEIFS('Bonos CER'!G5:G25,'Bonos CER'!E5:E25,"&gt;="&amp;2,'Bonos CER'!E5:E25,"&lt;"&amp;3),"-")</f>
        <v>8.5249999999999992E-2</v>
      </c>
      <c r="E11" s="8" t="str">
        <f t="shared" si="0"/>
        <v>-</v>
      </c>
      <c r="F11" s="7">
        <f>IFERROR(INDEX('REM Esperado'!C5:C11,MATCH(B11,'REM Esperado'!A5:A11,1)),"-")</f>
        <v>0.19600000000000001</v>
      </c>
      <c r="G11" s="9" t="str">
        <f t="shared" si="1"/>
        <v>-</v>
      </c>
    </row>
    <row r="12" spans="1:7" x14ac:dyDescent="0.2">
      <c r="A12" s="5" t="s">
        <v>16</v>
      </c>
      <c r="B12" s="6">
        <v>48</v>
      </c>
      <c r="C12" s="7">
        <f>IFERROR(AVERAGEIFS('Bonos Nominales'!G5:G21,'Bonos Nominales'!E5:E21,"&gt;="&amp;3,'Bonos Nominales'!E5:E21,"&lt;"&amp;83.25),"-")</f>
        <v>0.18</v>
      </c>
      <c r="D12" s="7">
        <f>IFERROR(AVERAGEIFS('Bonos CER'!G5:G25,'Bonos CER'!E5:E25,"&gt;="&amp;3,'Bonos CER'!E5:E25,"&lt;"&amp;83.25),"-")</f>
        <v>9.5000000000000001E-2</v>
      </c>
      <c r="E12" s="8">
        <f t="shared" si="0"/>
        <v>7.7625570776255648E-2</v>
      </c>
      <c r="F12" s="7">
        <f>IFERROR(INDEX('REM Esperado'!C5:C11,MATCH(B12,'REM Esperado'!A5:A11,1)),"-")</f>
        <v>0.17</v>
      </c>
      <c r="G12" s="9">
        <f t="shared" si="1"/>
        <v>-9.2374429223744364E-2</v>
      </c>
    </row>
    <row r="15" spans="1:7" x14ac:dyDescent="0.2">
      <c r="A15" s="10" t="s">
        <v>17</v>
      </c>
    </row>
    <row r="16" spans="1:7" x14ac:dyDescent="0.2">
      <c r="A16" s="2" t="s">
        <v>18</v>
      </c>
      <c r="B16" s="2"/>
      <c r="C16" s="2"/>
      <c r="D16" s="2"/>
      <c r="E16" s="2"/>
      <c r="F16" s="2"/>
      <c r="G16" s="2"/>
    </row>
    <row r="17" spans="1:7" x14ac:dyDescent="0.2">
      <c r="A17" s="2" t="s">
        <v>19</v>
      </c>
      <c r="B17" s="2"/>
      <c r="C17" s="2"/>
      <c r="D17" s="2"/>
      <c r="E17" s="2"/>
      <c r="F17" s="2"/>
      <c r="G17" s="2"/>
    </row>
    <row r="18" spans="1:7" x14ac:dyDescent="0.2">
      <c r="A18" s="2" t="s">
        <v>20</v>
      </c>
      <c r="B18" s="2"/>
      <c r="C18" s="2"/>
      <c r="D18" s="2"/>
      <c r="E18" s="2"/>
      <c r="F18" s="2"/>
      <c r="G18" s="2"/>
    </row>
  </sheetData>
  <mergeCells count="5">
    <mergeCell ref="A1:G1"/>
    <mergeCell ref="A2:G2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3" width="13" customWidth="1"/>
    <col min="4" max="5" width="11" customWidth="1"/>
    <col min="6" max="7" width="12" customWidth="1"/>
    <col min="8" max="8" width="32" customWidth="1"/>
  </cols>
  <sheetData>
    <row r="1" spans="1:8" ht="27.75" customHeight="1" x14ac:dyDescent="0.2">
      <c r="A1" s="3" t="s">
        <v>21</v>
      </c>
      <c r="B1" s="3"/>
      <c r="C1" s="3"/>
      <c r="D1" s="3"/>
      <c r="E1" s="3"/>
      <c r="F1" s="3"/>
      <c r="G1" s="3"/>
      <c r="H1" s="3"/>
    </row>
    <row r="2" spans="1:8" x14ac:dyDescent="0.2">
      <c r="A2" s="2" t="s">
        <v>22</v>
      </c>
      <c r="B2" s="2"/>
      <c r="C2" s="2"/>
      <c r="D2" s="2"/>
      <c r="E2" s="2"/>
      <c r="F2" s="2"/>
      <c r="G2" s="2"/>
      <c r="H2" s="2"/>
    </row>
    <row r="4" spans="1:8" x14ac:dyDescent="0.2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 spans="1:8" x14ac:dyDescent="0.2">
      <c r="A5" s="5" t="s">
        <v>31</v>
      </c>
      <c r="B5" s="11" t="s">
        <v>32</v>
      </c>
      <c r="C5" s="12" t="s">
        <v>33</v>
      </c>
      <c r="D5" s="12">
        <f>DATEVALUE("2026-05-15")-DATEVALUE("2026-05-10")</f>
        <v>5</v>
      </c>
      <c r="E5" s="13">
        <f t="shared" ref="E5:E21" si="0">D5/365</f>
        <v>1.3698630136986301E-2</v>
      </c>
      <c r="F5" s="14">
        <v>104.95</v>
      </c>
      <c r="G5" s="15">
        <v>0.24</v>
      </c>
      <c r="H5" s="11" t="s">
        <v>34</v>
      </c>
    </row>
    <row r="6" spans="1:8" x14ac:dyDescent="0.2">
      <c r="A6" s="5" t="s">
        <v>35</v>
      </c>
      <c r="B6" s="11" t="s">
        <v>32</v>
      </c>
      <c r="C6" s="12" t="s">
        <v>36</v>
      </c>
      <c r="D6" s="12">
        <f>DATEVALUE("2026-05-29")-DATEVALUE("2026-05-10")</f>
        <v>19</v>
      </c>
      <c r="E6" s="13">
        <f t="shared" si="0"/>
        <v>5.2054794520547946E-2</v>
      </c>
      <c r="F6" s="14">
        <v>130.69999999999999</v>
      </c>
      <c r="G6" s="15">
        <v>0.22500000000000001</v>
      </c>
      <c r="H6" s="11" t="s">
        <v>37</v>
      </c>
    </row>
    <row r="7" spans="1:8" x14ac:dyDescent="0.2">
      <c r="A7" s="5" t="s">
        <v>38</v>
      </c>
      <c r="B7" s="11" t="s">
        <v>32</v>
      </c>
      <c r="C7" s="12" t="s">
        <v>39</v>
      </c>
      <c r="D7" s="12">
        <f>DATEVALUE("2026-06-12")-DATEVALUE("2026-05-10")</f>
        <v>33</v>
      </c>
      <c r="E7" s="13">
        <f t="shared" si="0"/>
        <v>9.0410958904109592E-2</v>
      </c>
      <c r="F7" s="14">
        <v>100.93</v>
      </c>
      <c r="G7" s="15">
        <v>0.22</v>
      </c>
      <c r="H7" s="11" t="s">
        <v>40</v>
      </c>
    </row>
    <row r="8" spans="1:8" x14ac:dyDescent="0.2">
      <c r="A8" s="5" t="s">
        <v>41</v>
      </c>
      <c r="B8" s="11" t="s">
        <v>42</v>
      </c>
      <c r="C8" s="12" t="s">
        <v>43</v>
      </c>
      <c r="D8" s="12">
        <f>DATEVALUE("2026-06-30")-DATEVALUE("2026-05-10")</f>
        <v>51</v>
      </c>
      <c r="E8" s="13">
        <f t="shared" si="0"/>
        <v>0.13972602739726028</v>
      </c>
      <c r="F8" s="14">
        <v>140.57</v>
      </c>
      <c r="G8" s="15">
        <v>0.22</v>
      </c>
      <c r="H8" s="11" t="s">
        <v>44</v>
      </c>
    </row>
    <row r="9" spans="1:8" x14ac:dyDescent="0.2">
      <c r="A9" s="5" t="s">
        <v>45</v>
      </c>
      <c r="B9" s="11" t="s">
        <v>32</v>
      </c>
      <c r="C9" s="12" t="s">
        <v>46</v>
      </c>
      <c r="D9" s="12">
        <f>DATEVALUE("2026-07-17")-DATEVALUE("2026-05-10")</f>
        <v>68</v>
      </c>
      <c r="E9" s="13">
        <f t="shared" si="0"/>
        <v>0.18630136986301371</v>
      </c>
      <c r="F9" s="14">
        <v>103.4</v>
      </c>
      <c r="G9" s="15">
        <v>0.215</v>
      </c>
      <c r="H9" s="11" t="s">
        <v>47</v>
      </c>
    </row>
    <row r="10" spans="1:8" x14ac:dyDescent="0.2">
      <c r="A10" s="5" t="s">
        <v>48</v>
      </c>
      <c r="B10" s="11" t="s">
        <v>32</v>
      </c>
      <c r="C10" s="12" t="s">
        <v>49</v>
      </c>
      <c r="D10" s="12">
        <f>DATEVALUE("2026-07-31")-DATEVALUE("2026-05-10")</f>
        <v>82</v>
      </c>
      <c r="E10" s="13">
        <f t="shared" si="0"/>
        <v>0.22465753424657534</v>
      </c>
      <c r="F10" s="14">
        <v>111.81</v>
      </c>
      <c r="G10" s="15">
        <v>0.21199999999999999</v>
      </c>
      <c r="H10" s="11" t="s">
        <v>50</v>
      </c>
    </row>
    <row r="11" spans="1:8" x14ac:dyDescent="0.2">
      <c r="A11" s="5" t="s">
        <v>51</v>
      </c>
      <c r="B11" s="11" t="s">
        <v>32</v>
      </c>
      <c r="C11" s="12" t="s">
        <v>52</v>
      </c>
      <c r="D11" s="12">
        <f>DATEVALUE("2026-08-14")-DATEVALUE("2026-05-10")</f>
        <v>96</v>
      </c>
      <c r="E11" s="13">
        <f t="shared" si="0"/>
        <v>0.26301369863013696</v>
      </c>
      <c r="F11" s="14">
        <v>101.55</v>
      </c>
      <c r="G11" s="15">
        <v>0.21</v>
      </c>
      <c r="H11" s="11" t="s">
        <v>53</v>
      </c>
    </row>
    <row r="12" spans="1:8" x14ac:dyDescent="0.2">
      <c r="A12" s="5" t="s">
        <v>54</v>
      </c>
      <c r="B12" s="11" t="s">
        <v>32</v>
      </c>
      <c r="C12" s="12" t="s">
        <v>55</v>
      </c>
      <c r="D12" s="12">
        <f>DATEVALUE("2026-08-31")-DATEVALUE("2026-05-10")</f>
        <v>113</v>
      </c>
      <c r="E12" s="13">
        <f t="shared" si="0"/>
        <v>0.30958904109589042</v>
      </c>
      <c r="F12" s="14">
        <v>118.4</v>
      </c>
      <c r="G12" s="15">
        <v>0.20799999999999999</v>
      </c>
      <c r="H12" s="11" t="s">
        <v>56</v>
      </c>
    </row>
    <row r="13" spans="1:8" x14ac:dyDescent="0.2">
      <c r="A13" s="5" t="s">
        <v>57</v>
      </c>
      <c r="B13" s="11" t="s">
        <v>32</v>
      </c>
      <c r="C13" s="12" t="s">
        <v>58</v>
      </c>
      <c r="D13" s="12">
        <f>DATEVALUE("2026-09-30")-DATEVALUE("2026-05-10")</f>
        <v>143</v>
      </c>
      <c r="E13" s="13">
        <f t="shared" si="0"/>
        <v>0.39178082191780822</v>
      </c>
      <c r="F13" s="14">
        <v>107.15</v>
      </c>
      <c r="G13" s="15">
        <v>0.20499999999999999</v>
      </c>
      <c r="H13" s="11" t="s">
        <v>59</v>
      </c>
    </row>
    <row r="14" spans="1:8" x14ac:dyDescent="0.2">
      <c r="A14" s="5" t="s">
        <v>60</v>
      </c>
      <c r="B14" s="11" t="s">
        <v>42</v>
      </c>
      <c r="C14" s="12" t="s">
        <v>61</v>
      </c>
      <c r="D14" s="12">
        <f>DATEVALUE("2026-10-17")-DATEVALUE("2026-05-10")</f>
        <v>160</v>
      </c>
      <c r="E14" s="13">
        <f t="shared" si="0"/>
        <v>0.43835616438356162</v>
      </c>
      <c r="F14" s="14">
        <v>96.99</v>
      </c>
      <c r="G14" s="15">
        <v>0.20499999999999999</v>
      </c>
      <c r="H14" s="11" t="s">
        <v>62</v>
      </c>
    </row>
    <row r="15" spans="1:8" x14ac:dyDescent="0.2">
      <c r="A15" s="5" t="s">
        <v>63</v>
      </c>
      <c r="B15" s="11" t="s">
        <v>32</v>
      </c>
      <c r="C15" s="12" t="s">
        <v>64</v>
      </c>
      <c r="D15" s="12">
        <f>DATEVALUE("2026-10-30")-DATEVALUE("2026-05-10")</f>
        <v>173</v>
      </c>
      <c r="E15" s="13">
        <f t="shared" si="0"/>
        <v>0.47397260273972602</v>
      </c>
      <c r="F15" s="14">
        <v>121</v>
      </c>
      <c r="G15" s="15">
        <v>0.20200000000000001</v>
      </c>
      <c r="H15" s="11" t="s">
        <v>65</v>
      </c>
    </row>
    <row r="16" spans="1:8" x14ac:dyDescent="0.2">
      <c r="A16" s="5" t="s">
        <v>66</v>
      </c>
      <c r="B16" s="11" t="s">
        <v>32</v>
      </c>
      <c r="C16" s="12" t="s">
        <v>67</v>
      </c>
      <c r="D16" s="12">
        <f>DATEVALUE("2026-11-30")-DATEVALUE("2026-05-10")</f>
        <v>204</v>
      </c>
      <c r="E16" s="13">
        <f t="shared" si="0"/>
        <v>0.55890410958904113</v>
      </c>
      <c r="F16" s="14">
        <v>114.1</v>
      </c>
      <c r="G16" s="15">
        <v>0.2</v>
      </c>
      <c r="H16" s="11" t="s">
        <v>68</v>
      </c>
    </row>
    <row r="17" spans="1:8" x14ac:dyDescent="0.2">
      <c r="A17" s="5" t="s">
        <v>69</v>
      </c>
      <c r="B17" s="11" t="s">
        <v>42</v>
      </c>
      <c r="C17" s="12" t="s">
        <v>70</v>
      </c>
      <c r="D17" s="12">
        <f>DATEVALUE("2027-01-15")-DATEVALUE("2026-05-10")</f>
        <v>250</v>
      </c>
      <c r="E17" s="13">
        <f t="shared" si="0"/>
        <v>0.68493150684931503</v>
      </c>
      <c r="F17" s="14">
        <v>136.6</v>
      </c>
      <c r="G17" s="15">
        <v>0.19800000000000001</v>
      </c>
      <c r="H17" s="11" t="s">
        <v>71</v>
      </c>
    </row>
    <row r="18" spans="1:8" x14ac:dyDescent="0.2">
      <c r="A18" s="5" t="s">
        <v>72</v>
      </c>
      <c r="B18" s="11" t="s">
        <v>42</v>
      </c>
      <c r="C18" s="12" t="s">
        <v>73</v>
      </c>
      <c r="D18" s="12">
        <f>DATEVALUE("2027-04-30")-DATEVALUE("2026-05-10")</f>
        <v>355</v>
      </c>
      <c r="E18" s="13">
        <f t="shared" si="0"/>
        <v>0.9726027397260274</v>
      </c>
      <c r="F18" s="14">
        <v>123.84</v>
      </c>
      <c r="G18" s="15">
        <v>0.19500000000000001</v>
      </c>
      <c r="H18" s="11" t="s">
        <v>74</v>
      </c>
    </row>
    <row r="19" spans="1:8" x14ac:dyDescent="0.2">
      <c r="A19" s="5" t="s">
        <v>75</v>
      </c>
      <c r="B19" s="11" t="s">
        <v>42</v>
      </c>
      <c r="C19" s="12" t="s">
        <v>76</v>
      </c>
      <c r="D19" s="12">
        <f>DATEVALUE("2027-05-31")-DATEVALUE("2026-05-10")</f>
        <v>386</v>
      </c>
      <c r="E19" s="13">
        <f t="shared" si="0"/>
        <v>1.0575342465753426</v>
      </c>
      <c r="F19" s="14">
        <v>116.9</v>
      </c>
      <c r="G19" s="15">
        <v>0.193</v>
      </c>
      <c r="H19" s="11" t="s">
        <v>77</v>
      </c>
    </row>
    <row r="20" spans="1:8" x14ac:dyDescent="0.2">
      <c r="A20" s="5" t="s">
        <v>78</v>
      </c>
      <c r="B20" s="11" t="s">
        <v>42</v>
      </c>
      <c r="C20" s="12" t="s">
        <v>79</v>
      </c>
      <c r="D20" s="12">
        <f>DATEVALUE("2027-06-30")-DATEVALUE("2026-05-10")</f>
        <v>416</v>
      </c>
      <c r="E20" s="13">
        <f t="shared" si="0"/>
        <v>1.1397260273972603</v>
      </c>
      <c r="F20" s="14">
        <v>120.5</v>
      </c>
      <c r="G20" s="15">
        <v>0.192</v>
      </c>
      <c r="H20" s="11" t="s">
        <v>80</v>
      </c>
    </row>
    <row r="21" spans="1:8" x14ac:dyDescent="0.2">
      <c r="A21" s="5" t="s">
        <v>81</v>
      </c>
      <c r="B21" s="11" t="s">
        <v>42</v>
      </c>
      <c r="C21" s="12" t="s">
        <v>82</v>
      </c>
      <c r="D21" s="12">
        <f>DATEVALUE("2030-05-30")-DATEVALUE("2026-05-10")</f>
        <v>1481</v>
      </c>
      <c r="E21" s="13">
        <f t="shared" si="0"/>
        <v>4.0575342465753428</v>
      </c>
      <c r="F21" s="14">
        <v>120.1</v>
      </c>
      <c r="G21" s="15">
        <v>0.18</v>
      </c>
      <c r="H21" s="11" t="s">
        <v>83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3" width="13" customWidth="1"/>
    <col min="4" max="5" width="11" customWidth="1"/>
    <col min="6" max="7" width="12" customWidth="1"/>
    <col min="8" max="8" width="32" customWidth="1"/>
  </cols>
  <sheetData>
    <row r="1" spans="1:9" ht="27.75" customHeight="1" x14ac:dyDescent="0.2">
      <c r="A1" s="1" t="s">
        <v>84</v>
      </c>
      <c r="B1" s="1"/>
      <c r="C1" s="1"/>
      <c r="D1" s="1"/>
      <c r="E1" s="1"/>
      <c r="F1" s="1"/>
      <c r="G1" s="1"/>
      <c r="H1" s="1"/>
    </row>
    <row r="2" spans="1:9" x14ac:dyDescent="0.2">
      <c r="A2" s="2" t="s">
        <v>85</v>
      </c>
      <c r="B2" s="2"/>
      <c r="C2" s="2"/>
      <c r="D2" s="2"/>
      <c r="E2" s="2"/>
      <c r="F2" s="2"/>
      <c r="G2" s="2"/>
      <c r="H2" s="2"/>
    </row>
    <row r="4" spans="1:9" x14ac:dyDescent="0.2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H4" s="16" t="s">
        <v>86</v>
      </c>
      <c r="I4" s="16" t="s">
        <v>30</v>
      </c>
    </row>
    <row r="5" spans="1:9" x14ac:dyDescent="0.2">
      <c r="A5" s="5" t="s">
        <v>87</v>
      </c>
      <c r="B5" s="11" t="s">
        <v>88</v>
      </c>
      <c r="C5" s="12" t="s">
        <v>33</v>
      </c>
      <c r="D5" s="12">
        <f>DATEVALUE("2026-05-15")-DATEVALUE("2026-05-10")</f>
        <v>5</v>
      </c>
      <c r="E5" s="13">
        <f t="shared" ref="E5:E25" si="0">D5/365</f>
        <v>1.3698630136986301E-2</v>
      </c>
      <c r="F5" s="14">
        <v>107.8</v>
      </c>
      <c r="G5" s="15">
        <v>2.5000000000000001E-2</v>
      </c>
      <c r="H5" s="11" t="s">
        <v>89</v>
      </c>
    </row>
    <row r="6" spans="1:9" x14ac:dyDescent="0.2">
      <c r="A6" s="5" t="s">
        <v>90</v>
      </c>
      <c r="B6" s="11" t="s">
        <v>88</v>
      </c>
      <c r="C6" s="12" t="s">
        <v>36</v>
      </c>
      <c r="D6" s="12">
        <f>DATEVALUE("2026-05-29")-DATEVALUE("2026-05-10")</f>
        <v>19</v>
      </c>
      <c r="E6" s="13">
        <f t="shared" si="0"/>
        <v>5.2054794520547946E-2</v>
      </c>
      <c r="F6" s="14">
        <v>116.85</v>
      </c>
      <c r="G6" s="15">
        <v>0.03</v>
      </c>
      <c r="H6" s="11" t="s">
        <v>91</v>
      </c>
    </row>
    <row r="7" spans="1:9" x14ac:dyDescent="0.2">
      <c r="A7" s="5" t="s">
        <v>92</v>
      </c>
      <c r="B7" s="11" t="s">
        <v>93</v>
      </c>
      <c r="C7" s="12" t="s">
        <v>43</v>
      </c>
      <c r="D7" s="12">
        <f>DATEVALUE("2026-06-30")-DATEVALUE("2026-05-10")</f>
        <v>51</v>
      </c>
      <c r="E7" s="13">
        <f t="shared" si="0"/>
        <v>0.13972602739726028</v>
      </c>
      <c r="F7" s="14">
        <v>382.55</v>
      </c>
      <c r="G7" s="15">
        <v>3.5000000000000003E-2</v>
      </c>
      <c r="H7" s="11" t="s">
        <v>94</v>
      </c>
    </row>
    <row r="8" spans="1:9" x14ac:dyDescent="0.2">
      <c r="A8" s="5" t="s">
        <v>95</v>
      </c>
      <c r="B8" s="11" t="s">
        <v>88</v>
      </c>
      <c r="C8" s="12" t="s">
        <v>49</v>
      </c>
      <c r="D8" s="12">
        <f>DATEVALUE("2026-07-31")-DATEVALUE("2026-05-10")</f>
        <v>82</v>
      </c>
      <c r="E8" s="13">
        <f t="shared" si="0"/>
        <v>0.22465753424657534</v>
      </c>
      <c r="F8" s="14">
        <v>112.3</v>
      </c>
      <c r="G8" s="15">
        <v>4.4999999999999998E-2</v>
      </c>
      <c r="H8" s="11" t="s">
        <v>96</v>
      </c>
    </row>
    <row r="9" spans="1:9" x14ac:dyDescent="0.2">
      <c r="A9" s="5" t="s">
        <v>97</v>
      </c>
      <c r="B9" s="11" t="s">
        <v>88</v>
      </c>
      <c r="C9" s="12" t="s">
        <v>58</v>
      </c>
      <c r="D9" s="12">
        <f>DATEVALUE("2026-09-30")-DATEVALUE("2026-05-10")</f>
        <v>143</v>
      </c>
      <c r="E9" s="13">
        <f t="shared" si="0"/>
        <v>0.39178082191780822</v>
      </c>
      <c r="F9" s="14">
        <v>107.2</v>
      </c>
      <c r="G9" s="15">
        <v>0.05</v>
      </c>
      <c r="H9" s="11" t="s">
        <v>98</v>
      </c>
    </row>
    <row r="10" spans="1:9" x14ac:dyDescent="0.2">
      <c r="A10" s="5" t="s">
        <v>99</v>
      </c>
      <c r="B10" s="11" t="s">
        <v>93</v>
      </c>
      <c r="C10" s="12" t="s">
        <v>64</v>
      </c>
      <c r="D10" s="12">
        <f>DATEVALUE("2026-10-30")-DATEVALUE("2026-05-10")</f>
        <v>173</v>
      </c>
      <c r="E10" s="13">
        <f t="shared" si="0"/>
        <v>0.47397260273972602</v>
      </c>
      <c r="F10" s="14">
        <v>159.15</v>
      </c>
      <c r="G10" s="15">
        <v>5.5E-2</v>
      </c>
      <c r="H10" s="11" t="s">
        <v>100</v>
      </c>
    </row>
    <row r="11" spans="1:9" x14ac:dyDescent="0.2">
      <c r="A11" s="5" t="s">
        <v>101</v>
      </c>
      <c r="B11" s="11" t="s">
        <v>93</v>
      </c>
      <c r="C11" s="12" t="s">
        <v>102</v>
      </c>
      <c r="D11" s="12">
        <f>DATEVALUE("2026-11-09")-DATEVALUE("2026-05-10")</f>
        <v>183</v>
      </c>
      <c r="E11" s="13">
        <f t="shared" si="0"/>
        <v>0.50136986301369868</v>
      </c>
      <c r="F11" s="14">
        <v>682.7</v>
      </c>
      <c r="G11" s="15">
        <v>5.7000000000000002E-2</v>
      </c>
      <c r="H11" s="11" t="s">
        <v>103</v>
      </c>
    </row>
    <row r="12" spans="1:9" x14ac:dyDescent="0.2">
      <c r="A12" s="5" t="s">
        <v>104</v>
      </c>
      <c r="B12" s="11" t="s">
        <v>88</v>
      </c>
      <c r="C12" s="12" t="s">
        <v>67</v>
      </c>
      <c r="D12" s="12">
        <f>DATEVALUE("2026-11-30")-DATEVALUE("2026-05-10")</f>
        <v>204</v>
      </c>
      <c r="E12" s="13">
        <f t="shared" si="0"/>
        <v>0.55890410958904113</v>
      </c>
      <c r="F12" s="14">
        <v>115.4</v>
      </c>
      <c r="G12" s="15">
        <v>5.8000000000000003E-2</v>
      </c>
      <c r="H12" s="11" t="s">
        <v>105</v>
      </c>
    </row>
    <row r="13" spans="1:9" x14ac:dyDescent="0.2">
      <c r="A13" s="5" t="s">
        <v>106</v>
      </c>
      <c r="B13" s="11" t="s">
        <v>93</v>
      </c>
      <c r="C13" s="12" t="s">
        <v>107</v>
      </c>
      <c r="D13" s="12">
        <f>DATEVALUE("2026-12-15")-DATEVALUE("2026-05-10")</f>
        <v>219</v>
      </c>
      <c r="E13" s="13">
        <f t="shared" si="0"/>
        <v>0.6</v>
      </c>
      <c r="F13" s="14">
        <v>280.10000000000002</v>
      </c>
      <c r="G13" s="15">
        <v>0.06</v>
      </c>
      <c r="H13" s="11" t="s">
        <v>108</v>
      </c>
    </row>
    <row r="14" spans="1:9" x14ac:dyDescent="0.2">
      <c r="A14" s="5" t="s">
        <v>109</v>
      </c>
      <c r="B14" s="11" t="s">
        <v>93</v>
      </c>
      <c r="C14" s="12" t="s">
        <v>110</v>
      </c>
      <c r="D14" s="12">
        <f>DATEVALUE("2027-03-31")-DATEVALUE("2026-05-10")</f>
        <v>325</v>
      </c>
      <c r="E14" s="13">
        <f t="shared" si="0"/>
        <v>0.8904109589041096</v>
      </c>
      <c r="F14" s="14">
        <v>209.4</v>
      </c>
      <c r="G14" s="15">
        <v>6.5000000000000002E-2</v>
      </c>
      <c r="H14" s="11" t="s">
        <v>111</v>
      </c>
    </row>
    <row r="15" spans="1:9" x14ac:dyDescent="0.2">
      <c r="A15" s="5" t="s">
        <v>112</v>
      </c>
      <c r="B15" s="11" t="s">
        <v>93</v>
      </c>
      <c r="C15" s="12" t="s">
        <v>73</v>
      </c>
      <c r="D15" s="12">
        <f>DATEVALUE("2027-04-30")-DATEVALUE("2026-05-10")</f>
        <v>355</v>
      </c>
      <c r="E15" s="13">
        <f t="shared" si="0"/>
        <v>0.9726027397260274</v>
      </c>
      <c r="F15" s="14">
        <v>115.25</v>
      </c>
      <c r="G15" s="15">
        <v>6.8000000000000005E-2</v>
      </c>
      <c r="H15" s="11" t="s">
        <v>113</v>
      </c>
    </row>
    <row r="16" spans="1:9" x14ac:dyDescent="0.2">
      <c r="A16" s="5" t="s">
        <v>114</v>
      </c>
      <c r="B16" s="11" t="s">
        <v>93</v>
      </c>
      <c r="C16" s="12" t="s">
        <v>76</v>
      </c>
      <c r="D16" s="12">
        <f>DATEVALUE("2027-05-31")-DATEVALUE("2026-05-10")</f>
        <v>386</v>
      </c>
      <c r="E16" s="13">
        <f t="shared" si="0"/>
        <v>1.0575342465753426</v>
      </c>
      <c r="F16" s="14">
        <v>112.3</v>
      </c>
      <c r="G16" s="15">
        <v>7.0000000000000007E-2</v>
      </c>
      <c r="H16" s="11" t="s">
        <v>115</v>
      </c>
    </row>
    <row r="17" spans="1:8" x14ac:dyDescent="0.2">
      <c r="A17" s="5" t="s">
        <v>116</v>
      </c>
      <c r="B17" s="11" t="s">
        <v>93</v>
      </c>
      <c r="C17" s="12" t="s">
        <v>79</v>
      </c>
      <c r="D17" s="12">
        <f>DATEVALUE("2027-06-30")-DATEVALUE("2026-05-10")</f>
        <v>416</v>
      </c>
      <c r="E17" s="13">
        <f t="shared" si="0"/>
        <v>1.1397260273972603</v>
      </c>
      <c r="F17" s="14">
        <v>368.5</v>
      </c>
      <c r="G17" s="15">
        <v>7.1999999999999995E-2</v>
      </c>
      <c r="H17" s="11" t="s">
        <v>117</v>
      </c>
    </row>
    <row r="18" spans="1:8" x14ac:dyDescent="0.2">
      <c r="A18" s="5" t="s">
        <v>118</v>
      </c>
      <c r="B18" s="11" t="s">
        <v>93</v>
      </c>
      <c r="C18" s="12" t="s">
        <v>119</v>
      </c>
      <c r="D18" s="12">
        <f>DATEVALUE("2027-09-30")-DATEVALUE("2026-05-10")</f>
        <v>508</v>
      </c>
      <c r="E18" s="13">
        <f t="shared" si="0"/>
        <v>1.3917808219178083</v>
      </c>
      <c r="F18" s="14">
        <v>99.2</v>
      </c>
      <c r="G18" s="15">
        <v>7.4999999999999997E-2</v>
      </c>
      <c r="H18" s="11" t="s">
        <v>120</v>
      </c>
    </row>
    <row r="19" spans="1:8" x14ac:dyDescent="0.2">
      <c r="A19" s="5" t="s">
        <v>121</v>
      </c>
      <c r="B19" s="11" t="s">
        <v>93</v>
      </c>
      <c r="C19" s="12" t="s">
        <v>122</v>
      </c>
      <c r="D19" s="12">
        <f>DATEVALUE("2027-12-15")-DATEVALUE("2026-05-10")</f>
        <v>584</v>
      </c>
      <c r="E19" s="13">
        <f t="shared" si="0"/>
        <v>1.6</v>
      </c>
      <c r="F19" s="14">
        <v>255.4</v>
      </c>
      <c r="G19" s="15">
        <v>7.8E-2</v>
      </c>
      <c r="H19" s="11" t="s">
        <v>123</v>
      </c>
    </row>
    <row r="20" spans="1:8" x14ac:dyDescent="0.2">
      <c r="A20" s="5" t="s">
        <v>124</v>
      </c>
      <c r="B20" s="11" t="s">
        <v>93</v>
      </c>
      <c r="C20" s="12" t="s">
        <v>125</v>
      </c>
      <c r="D20" s="12">
        <f>DATEVALUE("2028-03-31")-DATEVALUE("2026-05-10")</f>
        <v>691</v>
      </c>
      <c r="E20" s="13">
        <f t="shared" si="0"/>
        <v>1.893150684931507</v>
      </c>
      <c r="F20" s="14">
        <v>94</v>
      </c>
      <c r="G20" s="15">
        <v>0.08</v>
      </c>
      <c r="H20" s="11" t="s">
        <v>126</v>
      </c>
    </row>
    <row r="21" spans="1:8" x14ac:dyDescent="0.2">
      <c r="A21" s="5" t="s">
        <v>127</v>
      </c>
      <c r="B21" s="11" t="s">
        <v>93</v>
      </c>
      <c r="C21" s="12" t="s">
        <v>128</v>
      </c>
      <c r="D21" s="12">
        <f>DATEVALUE("2028-06-30")-DATEVALUE("2026-05-10")</f>
        <v>782</v>
      </c>
      <c r="E21" s="13">
        <f t="shared" si="0"/>
        <v>2.1424657534246574</v>
      </c>
      <c r="F21" s="14">
        <v>319.64999999999998</v>
      </c>
      <c r="G21" s="15">
        <v>8.2000000000000003E-2</v>
      </c>
      <c r="H21" s="11" t="s">
        <v>129</v>
      </c>
    </row>
    <row r="22" spans="1:8" x14ac:dyDescent="0.2">
      <c r="A22" s="5" t="s">
        <v>130</v>
      </c>
      <c r="B22" s="11" t="s">
        <v>93</v>
      </c>
      <c r="C22" s="12" t="s">
        <v>131</v>
      </c>
      <c r="D22" s="12">
        <f>DATEVALUE("2028-09-30")-DATEVALUE("2026-05-10")</f>
        <v>874</v>
      </c>
      <c r="E22" s="13">
        <f t="shared" si="0"/>
        <v>2.3945205479452056</v>
      </c>
      <c r="F22" s="14">
        <v>85.92</v>
      </c>
      <c r="G22" s="15">
        <v>8.5000000000000006E-2</v>
      </c>
      <c r="H22" s="11" t="s">
        <v>132</v>
      </c>
    </row>
    <row r="23" spans="1:8" x14ac:dyDescent="0.2">
      <c r="A23" s="5" t="s">
        <v>133</v>
      </c>
      <c r="B23" s="11" t="s">
        <v>93</v>
      </c>
      <c r="C23" s="12" t="s">
        <v>134</v>
      </c>
      <c r="D23" s="12">
        <f>DATEVALUE("2028-11-09")-DATEVALUE("2026-05-10")</f>
        <v>914</v>
      </c>
      <c r="E23" s="13">
        <f t="shared" si="0"/>
        <v>2.504109589041096</v>
      </c>
      <c r="F23" s="14">
        <v>1622</v>
      </c>
      <c r="G23" s="15">
        <v>8.5999999999999993E-2</v>
      </c>
      <c r="H23" s="11" t="s">
        <v>135</v>
      </c>
    </row>
    <row r="24" spans="1:8" x14ac:dyDescent="0.2">
      <c r="A24" s="5" t="s">
        <v>136</v>
      </c>
      <c r="B24" s="11" t="s">
        <v>93</v>
      </c>
      <c r="C24" s="12" t="s">
        <v>137</v>
      </c>
      <c r="D24" s="12">
        <f>DATEVALUE("2029-03-31")-DATEVALUE("2026-05-10")</f>
        <v>1056</v>
      </c>
      <c r="E24" s="13">
        <f t="shared" si="0"/>
        <v>2.893150684931507</v>
      </c>
      <c r="F24" s="14">
        <v>82.3</v>
      </c>
      <c r="G24" s="15">
        <v>8.7999999999999995E-2</v>
      </c>
      <c r="H24" s="11" t="s">
        <v>138</v>
      </c>
    </row>
    <row r="25" spans="1:8" x14ac:dyDescent="0.2">
      <c r="A25" s="5" t="s">
        <v>139</v>
      </c>
      <c r="B25" s="11" t="s">
        <v>93</v>
      </c>
      <c r="C25" s="12" t="s">
        <v>140</v>
      </c>
      <c r="D25" s="12">
        <f>DATEVALUE("2031-11-30")-DATEVALUE("2026-05-10")</f>
        <v>2030</v>
      </c>
      <c r="E25" s="13">
        <f t="shared" si="0"/>
        <v>5.5616438356164384</v>
      </c>
      <c r="F25" s="14">
        <v>1388</v>
      </c>
      <c r="G25" s="15">
        <v>9.5000000000000001E-2</v>
      </c>
      <c r="H25" s="11" t="s">
        <v>141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zoomScaleNormal="100" workbookViewId="0">
      <selection sqref="A1:C1"/>
    </sheetView>
  </sheetViews>
  <sheetFormatPr baseColWidth="10" defaultColWidth="8.6640625" defaultRowHeight="15" x14ac:dyDescent="0.2"/>
  <cols>
    <col min="1" max="3" width="22" customWidth="1"/>
  </cols>
  <sheetData>
    <row r="1" spans="1:3" ht="27.75" customHeight="1" x14ac:dyDescent="0.2">
      <c r="A1" s="3" t="s">
        <v>142</v>
      </c>
      <c r="B1" s="3"/>
      <c r="C1" s="3"/>
    </row>
    <row r="2" spans="1:3" x14ac:dyDescent="0.2">
      <c r="A2" s="2" t="s">
        <v>143</v>
      </c>
      <c r="B2" s="2"/>
      <c r="C2" s="2"/>
    </row>
    <row r="4" spans="1:3" x14ac:dyDescent="0.2">
      <c r="A4" s="4" t="s">
        <v>144</v>
      </c>
      <c r="B4" s="4" t="s">
        <v>145</v>
      </c>
      <c r="C4" s="4" t="s">
        <v>146</v>
      </c>
    </row>
    <row r="5" spans="1:3" x14ac:dyDescent="0.2">
      <c r="A5" s="12">
        <v>1</v>
      </c>
      <c r="B5" s="15">
        <v>3.2000000000000001E-2</v>
      </c>
      <c r="C5" s="15">
        <v>0.45800000000000002</v>
      </c>
    </row>
    <row r="6" spans="1:3" x14ac:dyDescent="0.2">
      <c r="A6" s="12">
        <v>3</v>
      </c>
      <c r="B6" s="15">
        <v>8.4000000000000005E-2</v>
      </c>
      <c r="C6" s="15">
        <v>0.38200000000000001</v>
      </c>
    </row>
    <row r="7" spans="1:3" x14ac:dyDescent="0.2">
      <c r="A7" s="12">
        <v>6</v>
      </c>
      <c r="B7" s="15">
        <v>0.14499999999999999</v>
      </c>
      <c r="C7" s="15">
        <v>0.315</v>
      </c>
    </row>
    <row r="8" spans="1:3" x14ac:dyDescent="0.2">
      <c r="A8" s="12">
        <v>12</v>
      </c>
      <c r="B8" s="15">
        <v>0.23</v>
      </c>
      <c r="C8" s="15">
        <v>0.23</v>
      </c>
    </row>
    <row r="9" spans="1:3" x14ac:dyDescent="0.2">
      <c r="A9" s="12">
        <v>18</v>
      </c>
      <c r="B9" s="15">
        <v>0.33500000000000002</v>
      </c>
      <c r="C9" s="15">
        <v>0.216</v>
      </c>
    </row>
    <row r="10" spans="1:3" x14ac:dyDescent="0.2">
      <c r="A10" s="12">
        <v>24</v>
      </c>
      <c r="B10" s="15">
        <v>0.43</v>
      </c>
      <c r="C10" s="15">
        <v>0.19600000000000001</v>
      </c>
    </row>
    <row r="11" spans="1:3" x14ac:dyDescent="0.2">
      <c r="A11" s="12">
        <v>36</v>
      </c>
      <c r="B11" s="15">
        <v>0.6</v>
      </c>
      <c r="C11" s="15">
        <v>0.17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BEI</vt:lpstr>
      <vt:lpstr>Bonos Nominales</vt:lpstr>
      <vt:lpstr>Bonos CER</vt:lpstr>
      <vt:lpstr>REM Esperado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Murcia</cp:lastModifiedBy>
  <cp:revision>0</cp:revision>
  <dcterms:created xsi:type="dcterms:W3CDTF">2026-05-10T14:53:58Z</dcterms:created>
  <dcterms:modified xsi:type="dcterms:W3CDTF">2026-05-10T14:59:54Z</dcterms:modified>
  <dc:language>en-US</dc:language>
</cp:coreProperties>
</file>